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pi.dropbox.com/wopi/files/oid_2066026440720268800/WOPIServiceId_TP_DROPBOX_PLUS/WOPIUserId_-/"/>
    </mc:Choice>
  </mc:AlternateContent>
  <xr:revisionPtr revIDLastSave="370" documentId="13_ncr:40001_{302A552D-BD55-4259-865D-12213D42E890}" xr6:coauthVersionLast="47" xr6:coauthVersionMax="47" xr10:uidLastSave="{1C49B223-38AF-4277-BC8D-7C5CA47860DA}"/>
  <bookViews>
    <workbookView xWindow="-25320" yWindow="-120" windowWidth="25440" windowHeight="15270" xr2:uid="{00000000-000D-0000-FFFF-FFFF00000000}"/>
  </bookViews>
  <sheets>
    <sheet name="Run ga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2" l="1"/>
  <c r="B20" i="2" s="1"/>
  <c r="G20" i="2" s="1"/>
  <c r="B11" i="2"/>
  <c r="B13" i="2" s="1"/>
  <c r="B14" i="2" s="1"/>
  <c r="G7" i="2"/>
  <c r="E7" i="2" s="1"/>
  <c r="B15" i="2" l="1"/>
  <c r="B19" i="2" s="1"/>
  <c r="E20" i="2" l="1"/>
  <c r="B21" i="2"/>
  <c r="G21" i="2" s="1"/>
</calcChain>
</file>

<file path=xl/sharedStrings.xml><?xml version="1.0" encoding="utf-8"?>
<sst xmlns="http://schemas.openxmlformats.org/spreadsheetml/2006/main" count="25" uniqueCount="20">
  <si>
    <t>Number of depositors</t>
  </si>
  <si>
    <t>INITIAL SITUATION</t>
  </si>
  <si>
    <t>Assets</t>
  </si>
  <si>
    <t>Liabilities</t>
  </si>
  <si>
    <t>Deposits</t>
  </si>
  <si>
    <t>DEPOSITORS STAY OR LEAVE</t>
  </si>
  <si>
    <t>Staying depositors</t>
  </si>
  <si>
    <t>Leaving depositors</t>
  </si>
  <si>
    <t>Liquidation value of assets
(per $1 of book value)</t>
  </si>
  <si>
    <t>Book value of assets sold
(= Cash need / Liq. value of assets)</t>
  </si>
  <si>
    <t>Cash need
(= Leaving depositors x 100)</t>
  </si>
  <si>
    <t>AT MATURITY</t>
  </si>
  <si>
    <t>Interest rate on deposits</t>
  </si>
  <si>
    <t>Return on assets</t>
  </si>
  <si>
    <t>Asset value
(= Assets + 5% return)</t>
  </si>
  <si>
    <t>Owed to depositors
(= Deposits + 2% interest rate)</t>
  </si>
  <si>
    <t>Shreholders value
(= Assets - Liabilities)</t>
  </si>
  <si>
    <t>Equity</t>
  </si>
  <si>
    <t>Remaining deposits
(=Staying depositors x100)</t>
  </si>
  <si>
    <t>Remaining assets
(=Initial assets - Assets sold)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</si>
</sst>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9" fontId="0" fillId="0" borderId="0" xfId="0" applyNumberFormat="1"/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3846-CDCD-4A93-B07C-4D347637CB70}">
  <dimension ref="A1:G21"/>
  <sheetViews>
    <sheetView tabSelected="1" workbookViewId="0">
      <selection activeCell="B6" sqref="B6"/>
    </sheetView>
  </sheetViews>
  <sheetFormatPr defaultRowHeight="15" x14ac:dyDescent="0.25"/>
  <cols>
    <col min="1" max="1" width="32" style="1" customWidth="1"/>
  </cols>
  <sheetData>
    <row r="1" spans="1:7" x14ac:dyDescent="0.25">
      <c r="A1" s="1" t="s">
        <v>12</v>
      </c>
      <c r="B1" s="3">
        <v>0.02</v>
      </c>
    </row>
    <row r="2" spans="1:7" x14ac:dyDescent="0.25">
      <c r="A2" s="1" t="s">
        <v>13</v>
      </c>
      <c r="B2" s="3">
        <v>0.05</v>
      </c>
    </row>
    <row r="3" spans="1:7" ht="30" x14ac:dyDescent="0.25">
      <c r="A3" s="2" t="s">
        <v>8</v>
      </c>
      <c r="B3" s="9">
        <v>1</v>
      </c>
    </row>
    <row r="4" spans="1:7" x14ac:dyDescent="0.25">
      <c r="B4" s="4"/>
    </row>
    <row r="5" spans="1:7" x14ac:dyDescent="0.25">
      <c r="A5" s="13" t="s">
        <v>1</v>
      </c>
      <c r="B5" s="13"/>
      <c r="C5" s="13"/>
      <c r="D5" s="13"/>
      <c r="E5" s="13"/>
      <c r="F5" s="13"/>
      <c r="G5" s="13"/>
    </row>
    <row r="6" spans="1:7" x14ac:dyDescent="0.25">
      <c r="A6" s="1" t="s">
        <v>0</v>
      </c>
      <c r="B6" s="24"/>
      <c r="D6" s="10" t="s">
        <v>2</v>
      </c>
      <c r="E6" s="11"/>
      <c r="F6" s="12" t="s">
        <v>3</v>
      </c>
      <c r="G6" s="11"/>
    </row>
    <row r="7" spans="1:7" x14ac:dyDescent="0.25">
      <c r="A7" s="2"/>
      <c r="C7" s="8"/>
      <c r="D7" s="6" t="s">
        <v>2</v>
      </c>
      <c r="E7" s="5">
        <f>G7</f>
        <v>0</v>
      </c>
      <c r="F7" s="7" t="s">
        <v>4</v>
      </c>
      <c r="G7" s="5">
        <f>B6*100</f>
        <v>0</v>
      </c>
    </row>
    <row r="9" spans="1:7" x14ac:dyDescent="0.25">
      <c r="A9" s="13" t="s">
        <v>5</v>
      </c>
      <c r="B9" s="13"/>
      <c r="C9" s="13"/>
      <c r="D9" s="13"/>
      <c r="E9" s="13"/>
      <c r="F9" s="13"/>
      <c r="G9" s="13"/>
    </row>
    <row r="10" spans="1:7" x14ac:dyDescent="0.25">
      <c r="A10" s="1" t="s">
        <v>6</v>
      </c>
      <c r="B10" s="24"/>
    </row>
    <row r="11" spans="1:7" x14ac:dyDescent="0.25">
      <c r="A11" s="1" t="s">
        <v>7</v>
      </c>
      <c r="B11">
        <f>B6-B10</f>
        <v>0</v>
      </c>
    </row>
    <row r="13" spans="1:7" ht="30" x14ac:dyDescent="0.25">
      <c r="A13" s="2" t="s">
        <v>10</v>
      </c>
      <c r="B13">
        <f>B11*100</f>
        <v>0</v>
      </c>
      <c r="D13" s="14"/>
      <c r="E13" s="14"/>
      <c r="F13" s="14"/>
      <c r="G13" s="14"/>
    </row>
    <row r="14" spans="1:7" ht="30" x14ac:dyDescent="0.25">
      <c r="A14" s="2" t="s">
        <v>9</v>
      </c>
      <c r="B14">
        <f>B13/B3</f>
        <v>0</v>
      </c>
      <c r="D14" s="15"/>
      <c r="E14" s="15"/>
      <c r="F14" s="15"/>
      <c r="G14" s="15"/>
    </row>
    <row r="15" spans="1:7" ht="30" x14ac:dyDescent="0.25">
      <c r="A15" s="2" t="s">
        <v>19</v>
      </c>
      <c r="B15">
        <f>E7-B14</f>
        <v>0</v>
      </c>
      <c r="D15" s="16"/>
      <c r="E15" s="16"/>
      <c r="F15" s="16"/>
      <c r="G15" s="16"/>
    </row>
    <row r="16" spans="1:7" ht="30" x14ac:dyDescent="0.25">
      <c r="A16" s="2" t="s">
        <v>18</v>
      </c>
      <c r="B16">
        <f>B10*100</f>
        <v>0</v>
      </c>
    </row>
    <row r="18" spans="1:7" x14ac:dyDescent="0.25">
      <c r="A18" s="13" t="s">
        <v>11</v>
      </c>
      <c r="B18" s="13"/>
      <c r="C18" s="13"/>
      <c r="D18" s="13"/>
      <c r="E18" s="13"/>
      <c r="F18" s="13"/>
      <c r="G18" s="13"/>
    </row>
    <row r="19" spans="1:7" ht="30" x14ac:dyDescent="0.25">
      <c r="A19" s="2" t="s">
        <v>14</v>
      </c>
      <c r="B19">
        <f>B15*1.05</f>
        <v>0</v>
      </c>
      <c r="D19" s="17" t="s">
        <v>2</v>
      </c>
      <c r="E19" s="18"/>
      <c r="F19" s="19" t="s">
        <v>3</v>
      </c>
      <c r="G19" s="18"/>
    </row>
    <row r="20" spans="1:7" ht="30" x14ac:dyDescent="0.25">
      <c r="A20" s="2" t="s">
        <v>15</v>
      </c>
      <c r="B20">
        <f>B16*1.02</f>
        <v>0</v>
      </c>
      <c r="D20" s="20" t="s">
        <v>2</v>
      </c>
      <c r="E20" s="21">
        <f>B19</f>
        <v>0</v>
      </c>
      <c r="F20" s="20" t="s">
        <v>4</v>
      </c>
      <c r="G20" s="21">
        <f>B20</f>
        <v>0</v>
      </c>
    </row>
    <row r="21" spans="1:7" ht="30" x14ac:dyDescent="0.25">
      <c r="A21" s="2" t="s">
        <v>16</v>
      </c>
      <c r="B21">
        <f>B19-B20</f>
        <v>0</v>
      </c>
      <c r="D21" s="22"/>
      <c r="E21" s="23"/>
      <c r="F21" s="22" t="s">
        <v>17</v>
      </c>
      <c r="G21" s="23">
        <f>B21</f>
        <v>0</v>
      </c>
    </row>
  </sheetData>
  <mergeCells count="7">
    <mergeCell ref="D19:E19"/>
    <mergeCell ref="F19:G19"/>
    <mergeCell ref="A5:G5"/>
    <mergeCell ref="A9:G9"/>
    <mergeCell ref="A18:G18"/>
    <mergeCell ref="D6:E6"/>
    <mergeCell ref="F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HOMBERT</dc:creator>
  <cp:lastModifiedBy>Johan Hombert</cp:lastModifiedBy>
  <dcterms:created xsi:type="dcterms:W3CDTF">2025-03-07T07:42:31Z</dcterms:created>
  <dcterms:modified xsi:type="dcterms:W3CDTF">2026-05-05T07:15:03Z</dcterms:modified>
</cp:coreProperties>
</file>